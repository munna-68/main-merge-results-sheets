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er\Downloads\Result 3rd Year Semester\3rd Year 2nd Semester\"/>
    </mc:Choice>
  </mc:AlternateContent>
  <xr:revisionPtr revIDLastSave="0" documentId="11_DCFEC90C5F7289AF556CF8BE50F47F3BEC959989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Sheet1!$A$6:$R$45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68" i="1" l="1"/>
  <c r="O67" i="1"/>
  <c r="O66" i="1" l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P40" i="1" l="1"/>
  <c r="P39" i="1"/>
  <c r="P38" i="1"/>
  <c r="P37" i="1"/>
  <c r="C35" i="2" l="1"/>
  <c r="C39" i="2" s="1"/>
  <c r="C36" i="2"/>
  <c r="C37" i="2"/>
  <c r="C38" i="2"/>
  <c r="B39" i="2"/>
  <c r="B41" i="2" s="1"/>
  <c r="B26" i="2"/>
  <c r="B28" i="2" s="1"/>
  <c r="F19" i="2"/>
  <c r="G19" i="2" s="1"/>
  <c r="F20" i="2"/>
  <c r="F21" i="2"/>
  <c r="G21" i="2" s="1"/>
  <c r="F22" i="2"/>
  <c r="F23" i="2"/>
  <c r="G23" i="2" s="1"/>
  <c r="F24" i="2"/>
  <c r="F25" i="2"/>
  <c r="G25" i="2" s="1"/>
  <c r="F18" i="2"/>
  <c r="C19" i="2"/>
  <c r="C20" i="2"/>
  <c r="C21" i="2"/>
  <c r="C22" i="2"/>
  <c r="H22" i="2" s="1"/>
  <c r="C23" i="2"/>
  <c r="D23" i="2" s="1"/>
  <c r="C24" i="2"/>
  <c r="C25" i="2"/>
  <c r="H25" i="2" s="1"/>
  <c r="C18" i="2"/>
  <c r="E26" i="2"/>
  <c r="E28" i="2" s="1"/>
  <c r="G22" i="2"/>
  <c r="H24" i="2"/>
  <c r="G20" i="2"/>
  <c r="G24" i="2"/>
  <c r="D21" i="2"/>
  <c r="D24" i="2"/>
  <c r="H19" i="2"/>
  <c r="G9" i="2"/>
  <c r="F4" i="2"/>
  <c r="G4" i="2" s="1"/>
  <c r="F5" i="2"/>
  <c r="G5" i="2" s="1"/>
  <c r="F6" i="2"/>
  <c r="G6" i="2" s="1"/>
  <c r="F7" i="2"/>
  <c r="G7" i="2" s="1"/>
  <c r="F8" i="2"/>
  <c r="G8" i="2" s="1"/>
  <c r="F9" i="2"/>
  <c r="F10" i="2"/>
  <c r="G10" i="2" s="1"/>
  <c r="F3" i="2"/>
  <c r="G3" i="2" s="1"/>
  <c r="D3" i="2"/>
  <c r="C4" i="2"/>
  <c r="D4" i="2" s="1"/>
  <c r="C5" i="2"/>
  <c r="D5" i="2" s="1"/>
  <c r="C6" i="2"/>
  <c r="D6" i="2" s="1"/>
  <c r="C7" i="2"/>
  <c r="C8" i="2"/>
  <c r="D8" i="2" s="1"/>
  <c r="C9" i="2"/>
  <c r="D9" i="2" s="1"/>
  <c r="C10" i="2"/>
  <c r="H10" i="2" s="1"/>
  <c r="C3" i="2"/>
  <c r="H3" i="2" s="1"/>
  <c r="B13" i="2"/>
  <c r="E11" i="2"/>
  <c r="E13" i="2" s="1"/>
  <c r="B11" i="2"/>
  <c r="P8" i="1"/>
  <c r="P33" i="1"/>
  <c r="P34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29" i="1"/>
  <c r="P30" i="1"/>
  <c r="P31" i="1"/>
  <c r="P32" i="1"/>
  <c r="P35" i="1"/>
  <c r="P36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H7" i="2" l="1"/>
  <c r="D7" i="2"/>
  <c r="G11" i="2"/>
  <c r="H6" i="2"/>
  <c r="C26" i="2"/>
  <c r="D10" i="2"/>
  <c r="D11" i="2" s="1"/>
  <c r="F11" i="2"/>
  <c r="H9" i="2"/>
  <c r="H5" i="2"/>
  <c r="D25" i="2"/>
  <c r="H4" i="2"/>
  <c r="H8" i="2"/>
  <c r="C11" i="2"/>
  <c r="H21" i="2"/>
  <c r="D22" i="2"/>
  <c r="H23" i="2"/>
  <c r="F26" i="2"/>
  <c r="H20" i="2"/>
  <c r="G18" i="2"/>
  <c r="G26" i="2" s="1"/>
  <c r="H18" i="2"/>
  <c r="D20" i="2"/>
  <c r="D19" i="2"/>
  <c r="D18" i="2"/>
  <c r="D26" i="2" s="1"/>
  <c r="H11" i="2" l="1"/>
  <c r="H26" i="2"/>
</calcChain>
</file>

<file path=xl/sharedStrings.xml><?xml version="1.0" encoding="utf-8"?>
<sst xmlns="http://schemas.openxmlformats.org/spreadsheetml/2006/main" count="72" uniqueCount="63">
  <si>
    <t>cÖ‡Z¨K cÖ‡kœi Rb¨ c`Ë b¤^i (Bs‡iwR‡Z c~iY Ki‡Z n‡e)</t>
  </si>
  <si>
    <t xml:space="preserve">cix¶‡Ki ¯^v¶i: </t>
  </si>
  <si>
    <t>we¯ÍvwiZ b¤^icÎ</t>
  </si>
  <si>
    <t xml:space="preserve"> †eMg †iv‡Kqv wek¦we`¨vjq, iscyi </t>
  </si>
  <si>
    <t>Id no</t>
  </si>
  <si>
    <t xml:space="preserve">†gvU </t>
  </si>
  <si>
    <t>cix¶‡Ki bvg: cÖ‡dmi W. †gvnv¤§` AvwRRyi ingvb</t>
  </si>
  <si>
    <t>wefvM: g¨v‡bR‡g›U ÷vwWR, †e‡ivwe, iscyi|</t>
  </si>
  <si>
    <t xml:space="preserve"> †gvU (60)</t>
  </si>
  <si>
    <t>weweG 3q el© 2q †mwg÷vi cix¶v 2025 (†mkb: 2022-2023)</t>
  </si>
  <si>
    <r>
      <rPr>
        <b/>
        <sz val="12"/>
        <color indexed="8"/>
        <rFont val="SutonnyMJ"/>
      </rPr>
      <t>†Kvm© †KvW:</t>
    </r>
    <r>
      <rPr>
        <b/>
        <sz val="12"/>
        <rFont val="Arial"/>
        <family val="2"/>
      </rPr>
      <t xml:space="preserve"> MIS</t>
    </r>
    <r>
      <rPr>
        <b/>
        <sz val="12"/>
        <rFont val="Times New Roman"/>
        <family val="1"/>
      </rPr>
      <t xml:space="preserve"> 3203</t>
    </r>
  </si>
  <si>
    <r>
      <t xml:space="preserve">wefv‡Mi bvg: </t>
    </r>
    <r>
      <rPr>
        <b/>
        <sz val="12"/>
        <rFont val="Times New Roman"/>
        <family val="1"/>
      </rPr>
      <t xml:space="preserve">Management Information System </t>
    </r>
  </si>
  <si>
    <r>
      <t>†Kvm© wk‡ivbvg:</t>
    </r>
    <r>
      <rPr>
        <b/>
        <sz val="12"/>
        <rFont val="Times New Roman"/>
        <family val="1"/>
      </rPr>
      <t xml:space="preserve">  Management Science</t>
    </r>
  </si>
  <si>
    <t>12222002</t>
  </si>
  <si>
    <t>12222003</t>
  </si>
  <si>
    <t>12222005</t>
  </si>
  <si>
    <t>12222007</t>
  </si>
  <si>
    <t>12222009</t>
  </si>
  <si>
    <t>12222010</t>
  </si>
  <si>
    <t>12222011</t>
  </si>
  <si>
    <t>12222013</t>
  </si>
  <si>
    <t>12222017</t>
  </si>
  <si>
    <t>12222018</t>
  </si>
  <si>
    <t>12222019</t>
  </si>
  <si>
    <t>12222021</t>
  </si>
  <si>
    <t>12222022</t>
  </si>
  <si>
    <t>12222023</t>
  </si>
  <si>
    <t>12222024</t>
  </si>
  <si>
    <t>12222025</t>
  </si>
  <si>
    <t>12222026</t>
  </si>
  <si>
    <t>12222027</t>
  </si>
  <si>
    <t>12222028</t>
  </si>
  <si>
    <t>12222029</t>
  </si>
  <si>
    <t>12222030</t>
  </si>
  <si>
    <t>12222032</t>
  </si>
  <si>
    <t>12222033</t>
  </si>
  <si>
    <t>12222034</t>
  </si>
  <si>
    <t>12222035</t>
  </si>
  <si>
    <t>12222036</t>
  </si>
  <si>
    <t>12222038</t>
  </si>
  <si>
    <t>12222039</t>
  </si>
  <si>
    <t>12222040</t>
  </si>
  <si>
    <t>12222041</t>
  </si>
  <si>
    <t>12222042</t>
  </si>
  <si>
    <t>12222043</t>
  </si>
  <si>
    <t>12222045</t>
  </si>
  <si>
    <t>12222047</t>
  </si>
  <si>
    <t>12222048</t>
  </si>
  <si>
    <t>12222050</t>
  </si>
  <si>
    <t>12222052</t>
  </si>
  <si>
    <t>12222053</t>
  </si>
  <si>
    <t>12222055</t>
  </si>
  <si>
    <t>12222056</t>
  </si>
  <si>
    <t>12222057</t>
  </si>
  <si>
    <t>12222058</t>
  </si>
  <si>
    <t>12222060</t>
  </si>
  <si>
    <t>12222061</t>
  </si>
  <si>
    <t>12222062</t>
  </si>
  <si>
    <t>12122011</t>
  </si>
  <si>
    <t>12122014</t>
  </si>
  <si>
    <t>12122015</t>
  </si>
  <si>
    <t>12022021</t>
  </si>
  <si>
    <t>ZvwiL: 30/07/2026 (AbywôZ: 23-07-26)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</si>
</sst>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5" x14ac:knownFonts="1">
    <font>
      <sz val="10"/>
      <name val="Arial"/>
    </font>
    <font>
      <b/>
      <sz val="16"/>
      <name val="SutonnyMJ"/>
    </font>
    <font>
      <b/>
      <sz val="13"/>
      <name val="SutonnyMJ"/>
    </font>
    <font>
      <b/>
      <sz val="12"/>
      <name val="SutonnyMJ"/>
    </font>
    <font>
      <b/>
      <sz val="12"/>
      <name val="Arial"/>
      <family val="2"/>
    </font>
    <font>
      <sz val="12"/>
      <name val="Arial"/>
      <family val="2"/>
    </font>
    <font>
      <sz val="13"/>
      <name val="SutonnyMJ"/>
    </font>
    <font>
      <b/>
      <sz val="12"/>
      <name val="Times New Roman"/>
      <family val="1"/>
    </font>
    <font>
      <b/>
      <sz val="12"/>
      <color indexed="8"/>
      <name val="SutonnyMJ"/>
    </font>
    <font>
      <sz val="10"/>
      <name val="SutonnyMJ"/>
    </font>
    <font>
      <b/>
      <sz val="10"/>
      <name val="SutonnyMJ"/>
    </font>
    <font>
      <sz val="12"/>
      <name val="Palatino Linotype"/>
      <family val="1"/>
    </font>
    <font>
      <sz val="12"/>
      <name val="SutonnyMJ"/>
    </font>
    <font>
      <b/>
      <sz val="12"/>
      <name val="Cambria"/>
      <family val="1"/>
    </font>
    <font>
      <sz val="12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9" fillId="0" borderId="0" xfId="0" applyFont="1"/>
    <xf numFmtId="0" fontId="5" fillId="0" borderId="0" xfId="0" applyFont="1"/>
    <xf numFmtId="164" fontId="11" fillId="0" borderId="2" xfId="0" applyNumberFormat="1" applyFont="1" applyBorder="1"/>
    <xf numFmtId="164" fontId="11" fillId="0" borderId="1" xfId="0" applyNumberFormat="1" applyFont="1" applyBorder="1"/>
    <xf numFmtId="0" fontId="11" fillId="0" borderId="1" xfId="0" applyFont="1" applyBorder="1"/>
    <xf numFmtId="164" fontId="11" fillId="0" borderId="2" xfId="0" applyNumberFormat="1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0" fillId="2" borderId="0" xfId="0" applyFill="1"/>
    <xf numFmtId="11" fontId="0" fillId="2" borderId="0" xfId="0" applyNumberFormat="1" applyFill="1"/>
    <xf numFmtId="2" fontId="0" fillId="0" borderId="0" xfId="0" applyNumberFormat="1"/>
    <xf numFmtId="2" fontId="0" fillId="2" borderId="0" xfId="0" applyNumberFormat="1" applyFill="1"/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/>
    </xf>
    <xf numFmtId="0" fontId="6" fillId="0" borderId="0" xfId="0" applyFont="1" applyAlignment="1">
      <alignment horizontal="left" vertical="center"/>
    </xf>
    <xf numFmtId="0" fontId="13" fillId="0" borderId="0" xfId="0" applyFont="1"/>
    <xf numFmtId="164" fontId="11" fillId="0" borderId="0" xfId="0" applyNumberFormat="1" applyFont="1"/>
    <xf numFmtId="164" fontId="11" fillId="0" borderId="3" xfId="0" applyNumberFormat="1" applyFont="1" applyBorder="1"/>
    <xf numFmtId="49" fontId="14" fillId="0" borderId="1" xfId="0" applyNumberFormat="1" applyFont="1" applyBorder="1" applyAlignment="1">
      <alignment horizontal="center"/>
    </xf>
    <xf numFmtId="49" fontId="14" fillId="3" borderId="1" xfId="0" applyNumberFormat="1" applyFont="1" applyFill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1" fillId="0" borderId="0" xfId="0" applyFont="1"/>
    <xf numFmtId="0" fontId="12" fillId="3" borderId="0" xfId="0" applyFont="1" applyFill="1"/>
    <xf numFmtId="0" fontId="0" fillId="3" borderId="0" xfId="0" applyFill="1"/>
    <xf numFmtId="0" fontId="1" fillId="0" borderId="0" xfId="0" applyFont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12" fillId="3" borderId="0" xfId="0" applyFont="1" applyFill="1"/>
    <xf numFmtId="0" fontId="6" fillId="0" borderId="3" xfId="0" applyFont="1" applyBorder="1" applyAlignment="1">
      <alignment horizontal="left" vertical="center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0</xdr:row>
      <xdr:rowOff>38100</xdr:rowOff>
    </xdr:from>
    <xdr:to>
      <xdr:col>0</xdr:col>
      <xdr:colOff>561975</xdr:colOff>
      <xdr:row>3</xdr:row>
      <xdr:rowOff>0</xdr:rowOff>
    </xdr:to>
    <xdr:pic>
      <xdr:nvPicPr>
        <xdr:cNvPr id="1457" name="Picture 1">
          <a:extLst>
            <a:ext uri="{FF2B5EF4-FFF2-40B4-BE49-F238E27FC236}">
              <a16:creationId xmlns:a16="http://schemas.microsoft.com/office/drawing/2014/main" id="{CFEABE40-0FD3-6FBC-1C44-DF4098E4BF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38100"/>
          <a:ext cx="533400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2"/>
  <sheetViews>
    <sheetView tabSelected="1" view="pageLayout" topLeftCell="A61" zoomScale="145" zoomScaleNormal="130" zoomScalePageLayoutView="145" workbookViewId="0">
      <selection activeCell="K69" sqref="K69"/>
    </sheetView>
  </sheetViews>
  <sheetFormatPr defaultColWidth="9.1796875" defaultRowHeight="12.5" x14ac:dyDescent="0.25"/>
  <cols>
    <col min="1" max="1" width="12.54296875" customWidth="1"/>
    <col min="2" max="9" width="5.26953125" customWidth="1"/>
    <col min="10" max="11" width="4.1796875" customWidth="1"/>
    <col min="12" max="13" width="4" customWidth="1"/>
    <col min="14" max="14" width="3.81640625" customWidth="1"/>
    <col min="15" max="15" width="7.453125" customWidth="1"/>
    <col min="16" max="16" width="7" customWidth="1"/>
  </cols>
  <sheetData>
    <row r="1" spans="1:18" ht="22" x14ac:dyDescent="0.25">
      <c r="A1" s="26" t="s">
        <v>3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</row>
    <row r="2" spans="1:18" ht="18" x14ac:dyDescent="0.25">
      <c r="A2" s="32" t="s">
        <v>2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</row>
    <row r="3" spans="1:18" ht="18" x14ac:dyDescent="0.25">
      <c r="A3" s="32" t="s">
        <v>9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</row>
    <row r="4" spans="1:18" ht="16.5" x14ac:dyDescent="0.45">
      <c r="A4" s="31"/>
      <c r="B4" s="31"/>
      <c r="C4" s="31"/>
      <c r="D4" s="31"/>
      <c r="E4" s="2"/>
      <c r="F4" s="14" t="s">
        <v>11</v>
      </c>
      <c r="G4" s="14"/>
      <c r="H4" s="14"/>
      <c r="I4" s="14"/>
      <c r="J4" s="14"/>
      <c r="K4" s="14"/>
      <c r="L4" s="14"/>
    </row>
    <row r="5" spans="1:18" ht="16.5" customHeight="1" x14ac:dyDescent="0.35">
      <c r="A5" s="34" t="s">
        <v>10</v>
      </c>
      <c r="B5" s="35"/>
      <c r="C5" s="35"/>
      <c r="D5" s="35"/>
      <c r="E5" s="2"/>
      <c r="F5" s="14" t="s">
        <v>12</v>
      </c>
      <c r="G5" s="14"/>
      <c r="H5" s="14"/>
      <c r="I5" s="14"/>
      <c r="J5" s="14"/>
      <c r="K5" s="14"/>
      <c r="L5" s="14"/>
    </row>
    <row r="6" spans="1:18" ht="18" x14ac:dyDescent="0.5">
      <c r="A6" s="27" t="s">
        <v>4</v>
      </c>
      <c r="B6" s="36" t="s">
        <v>0</v>
      </c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8"/>
    </row>
    <row r="7" spans="1:18" ht="16.5" x14ac:dyDescent="0.45">
      <c r="A7" s="28"/>
      <c r="B7" s="15">
        <v>1</v>
      </c>
      <c r="C7" s="15">
        <v>2</v>
      </c>
      <c r="D7" s="15">
        <v>3</v>
      </c>
      <c r="E7" s="15">
        <v>4</v>
      </c>
      <c r="F7" s="15">
        <v>5</v>
      </c>
      <c r="G7" s="15">
        <v>6</v>
      </c>
      <c r="H7" s="15">
        <v>7</v>
      </c>
      <c r="I7" s="15">
        <v>8</v>
      </c>
      <c r="J7" s="15">
        <v>9</v>
      </c>
      <c r="K7" s="15">
        <v>10</v>
      </c>
      <c r="L7" s="15">
        <v>11</v>
      </c>
      <c r="M7" s="15">
        <v>12</v>
      </c>
      <c r="N7" s="15">
        <v>13</v>
      </c>
      <c r="O7" s="15" t="s">
        <v>8</v>
      </c>
      <c r="P7" s="9" t="s">
        <v>5</v>
      </c>
    </row>
    <row r="8" spans="1:18" ht="18" customHeight="1" x14ac:dyDescent="0.45">
      <c r="A8" s="20" t="s">
        <v>13</v>
      </c>
      <c r="B8" s="3"/>
      <c r="C8" s="4"/>
      <c r="D8" s="4">
        <v>14</v>
      </c>
      <c r="E8" s="4">
        <v>14</v>
      </c>
      <c r="F8" s="4">
        <v>14</v>
      </c>
      <c r="G8" s="4">
        <v>15</v>
      </c>
      <c r="H8" s="4"/>
      <c r="I8" s="5"/>
      <c r="J8" s="5"/>
      <c r="K8" s="5"/>
      <c r="L8" s="5"/>
      <c r="M8" s="5"/>
      <c r="N8" s="5"/>
      <c r="O8" s="4">
        <f t="shared" ref="O8:O40" si="0">SUM(B8:N8)</f>
        <v>57</v>
      </c>
      <c r="P8" s="4">
        <f t="shared" ref="P8:P40" si="1">SUM(B8:O8)</f>
        <v>114</v>
      </c>
      <c r="Q8" s="12"/>
      <c r="R8" s="12"/>
    </row>
    <row r="9" spans="1:18" ht="18" customHeight="1" x14ac:dyDescent="0.45">
      <c r="A9" s="20" t="s">
        <v>14</v>
      </c>
      <c r="B9" s="3"/>
      <c r="C9" s="4">
        <v>15</v>
      </c>
      <c r="D9" s="4">
        <v>14</v>
      </c>
      <c r="E9" s="4"/>
      <c r="F9" s="4">
        <v>14</v>
      </c>
      <c r="G9" s="4">
        <v>15</v>
      </c>
      <c r="H9" s="4"/>
      <c r="I9" s="5"/>
      <c r="J9" s="5"/>
      <c r="K9" s="5"/>
      <c r="L9" s="5"/>
      <c r="M9" s="5"/>
      <c r="N9" s="5"/>
      <c r="O9" s="4">
        <f t="shared" si="0"/>
        <v>58</v>
      </c>
      <c r="P9" s="4">
        <f t="shared" si="1"/>
        <v>116</v>
      </c>
      <c r="Q9" s="12"/>
      <c r="R9" s="12"/>
    </row>
    <row r="10" spans="1:18" ht="18" customHeight="1" x14ac:dyDescent="0.45">
      <c r="A10" s="20" t="s">
        <v>15</v>
      </c>
      <c r="B10" s="3"/>
      <c r="C10" s="4"/>
      <c r="D10" s="4">
        <v>14</v>
      </c>
      <c r="E10" s="4">
        <v>14</v>
      </c>
      <c r="F10" s="4">
        <v>15</v>
      </c>
      <c r="G10" s="4">
        <v>15</v>
      </c>
      <c r="H10" s="4"/>
      <c r="I10" s="5"/>
      <c r="J10" s="5"/>
      <c r="K10" s="5"/>
      <c r="L10" s="5"/>
      <c r="M10" s="5"/>
      <c r="N10" s="5"/>
      <c r="O10" s="4">
        <f t="shared" si="0"/>
        <v>58</v>
      </c>
      <c r="P10" s="4">
        <f t="shared" si="1"/>
        <v>116</v>
      </c>
      <c r="Q10" s="12"/>
      <c r="R10" s="12"/>
    </row>
    <row r="11" spans="1:18" ht="18" customHeight="1" x14ac:dyDescent="0.45">
      <c r="A11" s="21" t="s">
        <v>16</v>
      </c>
      <c r="B11" s="3"/>
      <c r="C11" s="4"/>
      <c r="D11" s="4">
        <v>14</v>
      </c>
      <c r="E11" s="4">
        <v>14</v>
      </c>
      <c r="F11" s="4">
        <v>15</v>
      </c>
      <c r="G11" s="4">
        <v>15</v>
      </c>
      <c r="H11" s="4"/>
      <c r="I11" s="5"/>
      <c r="J11" s="5"/>
      <c r="K11" s="5"/>
      <c r="L11" s="5"/>
      <c r="M11" s="5"/>
      <c r="N11" s="5"/>
      <c r="O11" s="4">
        <f t="shared" si="0"/>
        <v>58</v>
      </c>
      <c r="P11" s="4">
        <f t="shared" si="1"/>
        <v>116</v>
      </c>
      <c r="Q11" s="12"/>
      <c r="R11" s="12"/>
    </row>
    <row r="12" spans="1:18" ht="18" customHeight="1" x14ac:dyDescent="0.45">
      <c r="A12" s="21" t="s">
        <v>17</v>
      </c>
      <c r="B12" s="3"/>
      <c r="C12" s="4">
        <v>12</v>
      </c>
      <c r="D12" s="4">
        <v>14</v>
      </c>
      <c r="E12" s="4">
        <v>14</v>
      </c>
      <c r="F12" s="4">
        <v>12</v>
      </c>
      <c r="G12" s="4"/>
      <c r="H12" s="4"/>
      <c r="I12" s="5"/>
      <c r="J12" s="5"/>
      <c r="K12" s="5"/>
      <c r="L12" s="5"/>
      <c r="M12" s="5"/>
      <c r="N12" s="5"/>
      <c r="O12" s="4">
        <f t="shared" si="0"/>
        <v>52</v>
      </c>
      <c r="P12" s="4">
        <f t="shared" si="1"/>
        <v>104</v>
      </c>
      <c r="Q12" s="12"/>
      <c r="R12" s="12"/>
    </row>
    <row r="13" spans="1:18" ht="18" customHeight="1" x14ac:dyDescent="0.45">
      <c r="A13" s="21" t="s">
        <v>18</v>
      </c>
      <c r="B13" s="6"/>
      <c r="C13" s="7"/>
      <c r="D13" s="7">
        <v>14</v>
      </c>
      <c r="E13" s="7">
        <v>14</v>
      </c>
      <c r="F13" s="7">
        <v>14</v>
      </c>
      <c r="G13" s="7">
        <v>14</v>
      </c>
      <c r="H13" s="4"/>
      <c r="I13" s="5"/>
      <c r="J13" s="5"/>
      <c r="K13" s="5"/>
      <c r="L13" s="5"/>
      <c r="M13" s="5"/>
      <c r="N13" s="5"/>
      <c r="O13" s="4">
        <f t="shared" si="0"/>
        <v>56</v>
      </c>
      <c r="P13" s="4">
        <f t="shared" si="1"/>
        <v>112</v>
      </c>
      <c r="Q13" s="12"/>
      <c r="R13" s="12"/>
    </row>
    <row r="14" spans="1:18" ht="18" customHeight="1" x14ac:dyDescent="0.45">
      <c r="A14" s="21" t="s">
        <v>19</v>
      </c>
      <c r="B14" s="3"/>
      <c r="C14" s="4">
        <v>14.5</v>
      </c>
      <c r="D14" s="4">
        <v>14</v>
      </c>
      <c r="E14" s="4">
        <v>14.5</v>
      </c>
      <c r="F14" s="4">
        <v>11</v>
      </c>
      <c r="G14" s="4"/>
      <c r="H14" s="4"/>
      <c r="I14" s="5"/>
      <c r="J14" s="5"/>
      <c r="K14" s="5"/>
      <c r="L14" s="5"/>
      <c r="M14" s="5"/>
      <c r="N14" s="5"/>
      <c r="O14" s="4">
        <f t="shared" si="0"/>
        <v>54</v>
      </c>
      <c r="P14" s="4">
        <f t="shared" si="1"/>
        <v>108</v>
      </c>
      <c r="Q14" s="12"/>
      <c r="R14" s="12"/>
    </row>
    <row r="15" spans="1:18" ht="18" customHeight="1" x14ac:dyDescent="0.45">
      <c r="A15" s="20" t="s">
        <v>20</v>
      </c>
      <c r="B15" s="3"/>
      <c r="C15" s="4"/>
      <c r="D15" s="4">
        <v>14</v>
      </c>
      <c r="E15" s="4">
        <v>14</v>
      </c>
      <c r="F15" s="4">
        <v>14</v>
      </c>
      <c r="G15" s="4">
        <v>11.5</v>
      </c>
      <c r="H15" s="4"/>
      <c r="I15" s="5"/>
      <c r="J15" s="5"/>
      <c r="K15" s="5"/>
      <c r="L15" s="5"/>
      <c r="M15" s="5"/>
      <c r="N15" s="5"/>
      <c r="O15" s="4">
        <f t="shared" si="0"/>
        <v>53.5</v>
      </c>
      <c r="P15" s="4">
        <f t="shared" si="1"/>
        <v>107</v>
      </c>
      <c r="Q15" s="12"/>
      <c r="R15" s="12"/>
    </row>
    <row r="16" spans="1:18" ht="18" customHeight="1" x14ac:dyDescent="0.45">
      <c r="A16" s="22">
        <v>12222014</v>
      </c>
      <c r="B16" s="3"/>
      <c r="C16" s="4"/>
      <c r="D16" s="4">
        <v>14</v>
      </c>
      <c r="E16" s="4">
        <v>14</v>
      </c>
      <c r="F16" s="4">
        <v>14</v>
      </c>
      <c r="G16" s="4">
        <v>15</v>
      </c>
      <c r="H16" s="4"/>
      <c r="I16" s="5"/>
      <c r="J16" s="5"/>
      <c r="K16" s="5"/>
      <c r="L16" s="5"/>
      <c r="M16" s="5"/>
      <c r="N16" s="5"/>
      <c r="O16" s="4">
        <f t="shared" si="0"/>
        <v>57</v>
      </c>
      <c r="P16" s="4">
        <f t="shared" si="1"/>
        <v>114</v>
      </c>
      <c r="Q16" s="12"/>
      <c r="R16" s="12"/>
    </row>
    <row r="17" spans="1:18" ht="18" customHeight="1" x14ac:dyDescent="0.45">
      <c r="A17" s="22">
        <v>12222016</v>
      </c>
      <c r="B17" s="3"/>
      <c r="C17" s="4"/>
      <c r="D17" s="4">
        <v>14</v>
      </c>
      <c r="E17" s="4">
        <v>15</v>
      </c>
      <c r="F17" s="4">
        <v>14.5</v>
      </c>
      <c r="G17" s="4">
        <v>14</v>
      </c>
      <c r="H17" s="4"/>
      <c r="I17" s="5"/>
      <c r="J17" s="5"/>
      <c r="K17" s="5"/>
      <c r="L17" s="5"/>
      <c r="M17" s="5"/>
      <c r="N17" s="5"/>
      <c r="O17" s="4">
        <f t="shared" si="0"/>
        <v>57.5</v>
      </c>
      <c r="P17" s="4">
        <f t="shared" si="1"/>
        <v>115</v>
      </c>
      <c r="Q17" s="12"/>
      <c r="R17" s="12"/>
    </row>
    <row r="18" spans="1:18" ht="18" customHeight="1" x14ac:dyDescent="0.45">
      <c r="A18" s="20" t="s">
        <v>21</v>
      </c>
      <c r="B18" s="3"/>
      <c r="C18" s="4"/>
      <c r="D18" s="4">
        <v>14.5</v>
      </c>
      <c r="E18" s="4">
        <v>14</v>
      </c>
      <c r="F18" s="4">
        <v>14.5</v>
      </c>
      <c r="G18" s="4">
        <v>14</v>
      </c>
      <c r="H18" s="4"/>
      <c r="I18" s="5"/>
      <c r="J18" s="5"/>
      <c r="K18" s="5"/>
      <c r="L18" s="5"/>
      <c r="M18" s="5"/>
      <c r="N18" s="5"/>
      <c r="O18" s="4">
        <f t="shared" si="0"/>
        <v>57</v>
      </c>
      <c r="P18" s="4">
        <f t="shared" si="1"/>
        <v>114</v>
      </c>
      <c r="Q18" s="12"/>
      <c r="R18" s="12"/>
    </row>
    <row r="19" spans="1:18" ht="18" customHeight="1" x14ac:dyDescent="0.45">
      <c r="A19" s="20" t="s">
        <v>22</v>
      </c>
      <c r="B19" s="3"/>
      <c r="C19" s="4"/>
      <c r="D19" s="4">
        <v>14</v>
      </c>
      <c r="E19" s="4">
        <v>14.5</v>
      </c>
      <c r="F19" s="4">
        <v>14.5</v>
      </c>
      <c r="G19" s="4">
        <v>14</v>
      </c>
      <c r="H19" s="4"/>
      <c r="I19" s="5"/>
      <c r="J19" s="5"/>
      <c r="K19" s="5"/>
      <c r="L19" s="5"/>
      <c r="M19" s="5"/>
      <c r="N19" s="5"/>
      <c r="O19" s="4">
        <f t="shared" si="0"/>
        <v>57</v>
      </c>
      <c r="P19" s="4">
        <f t="shared" si="1"/>
        <v>114</v>
      </c>
      <c r="Q19" s="12"/>
      <c r="R19" s="12"/>
    </row>
    <row r="20" spans="1:18" ht="18" customHeight="1" x14ac:dyDescent="0.45">
      <c r="A20" s="20" t="s">
        <v>23</v>
      </c>
      <c r="B20" s="3"/>
      <c r="C20" s="4">
        <v>12</v>
      </c>
      <c r="D20" s="4">
        <v>14</v>
      </c>
      <c r="E20" s="4">
        <v>14</v>
      </c>
      <c r="F20" s="4">
        <v>11</v>
      </c>
      <c r="G20" s="4"/>
      <c r="H20" s="4"/>
      <c r="I20" s="5"/>
      <c r="J20" s="5"/>
      <c r="K20" s="5"/>
      <c r="L20" s="5"/>
      <c r="M20" s="5"/>
      <c r="N20" s="5"/>
      <c r="O20" s="4">
        <f t="shared" si="0"/>
        <v>51</v>
      </c>
      <c r="P20" s="4">
        <f t="shared" si="1"/>
        <v>102</v>
      </c>
      <c r="Q20" s="12"/>
      <c r="R20" s="12"/>
    </row>
    <row r="21" spans="1:18" ht="18" customHeight="1" x14ac:dyDescent="0.45">
      <c r="A21" s="22">
        <v>12222020</v>
      </c>
      <c r="B21" s="3"/>
      <c r="C21" s="4"/>
      <c r="D21" s="4">
        <v>14</v>
      </c>
      <c r="E21" s="4">
        <v>14</v>
      </c>
      <c r="F21" s="4">
        <v>14</v>
      </c>
      <c r="G21" s="4">
        <v>15</v>
      </c>
      <c r="H21" s="4"/>
      <c r="I21" s="5"/>
      <c r="J21" s="5"/>
      <c r="K21" s="5"/>
      <c r="L21" s="5"/>
      <c r="M21" s="5"/>
      <c r="N21" s="5"/>
      <c r="O21" s="4">
        <f t="shared" si="0"/>
        <v>57</v>
      </c>
      <c r="P21" s="4">
        <f t="shared" si="1"/>
        <v>114</v>
      </c>
      <c r="Q21" s="12"/>
      <c r="R21" s="12"/>
    </row>
    <row r="22" spans="1:18" ht="18" customHeight="1" x14ac:dyDescent="0.45">
      <c r="A22" s="20" t="s">
        <v>24</v>
      </c>
      <c r="B22" s="3"/>
      <c r="C22" s="4"/>
      <c r="D22" s="4">
        <v>14</v>
      </c>
      <c r="E22" s="4">
        <v>14</v>
      </c>
      <c r="F22" s="4">
        <v>13</v>
      </c>
      <c r="G22" s="4">
        <v>12</v>
      </c>
      <c r="H22" s="4"/>
      <c r="I22" s="5"/>
      <c r="J22" s="5"/>
      <c r="K22" s="5"/>
      <c r="L22" s="5"/>
      <c r="M22" s="5"/>
      <c r="N22" s="5"/>
      <c r="O22" s="4">
        <f t="shared" si="0"/>
        <v>53</v>
      </c>
      <c r="P22" s="4">
        <f t="shared" si="1"/>
        <v>106</v>
      </c>
      <c r="Q22" s="12"/>
      <c r="R22" s="12"/>
    </row>
    <row r="23" spans="1:18" ht="18" customHeight="1" x14ac:dyDescent="0.45">
      <c r="A23" s="20" t="s">
        <v>25</v>
      </c>
      <c r="B23" s="3"/>
      <c r="C23" s="4"/>
      <c r="D23" s="4">
        <v>14</v>
      </c>
      <c r="E23" s="4">
        <v>14</v>
      </c>
      <c r="F23" s="4">
        <v>14</v>
      </c>
      <c r="G23" s="4">
        <v>11.5</v>
      </c>
      <c r="H23" s="4"/>
      <c r="I23" s="5"/>
      <c r="J23" s="5"/>
      <c r="K23" s="5"/>
      <c r="L23" s="5"/>
      <c r="M23" s="5"/>
      <c r="N23" s="5"/>
      <c r="O23" s="4">
        <f t="shared" si="0"/>
        <v>53.5</v>
      </c>
      <c r="P23" s="4">
        <f t="shared" si="1"/>
        <v>107</v>
      </c>
      <c r="Q23" s="12"/>
      <c r="R23" s="12"/>
    </row>
    <row r="24" spans="1:18" ht="18" customHeight="1" x14ac:dyDescent="0.45">
      <c r="A24" s="20" t="s">
        <v>26</v>
      </c>
      <c r="B24" s="3"/>
      <c r="C24" s="4"/>
      <c r="D24" s="4">
        <v>12</v>
      </c>
      <c r="E24" s="4">
        <v>14</v>
      </c>
      <c r="F24" s="4">
        <v>14</v>
      </c>
      <c r="G24" s="4">
        <v>15</v>
      </c>
      <c r="H24" s="4"/>
      <c r="I24" s="5"/>
      <c r="J24" s="5"/>
      <c r="K24" s="5"/>
      <c r="L24" s="5"/>
      <c r="M24" s="5"/>
      <c r="N24" s="5"/>
      <c r="O24" s="4">
        <f t="shared" si="0"/>
        <v>55</v>
      </c>
      <c r="P24" s="4">
        <f t="shared" si="1"/>
        <v>110</v>
      </c>
      <c r="Q24" s="12"/>
      <c r="R24" s="12"/>
    </row>
    <row r="25" spans="1:18" ht="18" customHeight="1" x14ac:dyDescent="0.45">
      <c r="A25" s="20" t="s">
        <v>27</v>
      </c>
      <c r="B25" s="3"/>
      <c r="C25" s="4"/>
      <c r="D25" s="4">
        <v>13</v>
      </c>
      <c r="E25" s="4">
        <v>14</v>
      </c>
      <c r="F25" s="4">
        <v>13</v>
      </c>
      <c r="G25" s="4">
        <v>15</v>
      </c>
      <c r="H25" s="4"/>
      <c r="I25" s="5"/>
      <c r="J25" s="5"/>
      <c r="K25" s="5"/>
      <c r="L25" s="5"/>
      <c r="M25" s="5"/>
      <c r="N25" s="5"/>
      <c r="O25" s="4">
        <f t="shared" si="0"/>
        <v>55</v>
      </c>
      <c r="P25" s="4">
        <f t="shared" si="1"/>
        <v>110</v>
      </c>
      <c r="Q25" s="12"/>
      <c r="R25" s="12"/>
    </row>
    <row r="26" spans="1:18" ht="18" customHeight="1" x14ac:dyDescent="0.45">
      <c r="A26" s="20" t="s">
        <v>28</v>
      </c>
      <c r="B26" s="3"/>
      <c r="C26" s="4"/>
      <c r="D26" s="4">
        <v>14</v>
      </c>
      <c r="E26" s="4">
        <v>13</v>
      </c>
      <c r="F26" s="4">
        <v>14</v>
      </c>
      <c r="G26" s="4">
        <v>14</v>
      </c>
      <c r="H26" s="4"/>
      <c r="I26" s="5"/>
      <c r="J26" s="5"/>
      <c r="K26" s="5"/>
      <c r="L26" s="5"/>
      <c r="M26" s="5"/>
      <c r="N26" s="5"/>
      <c r="O26" s="4">
        <f t="shared" si="0"/>
        <v>55</v>
      </c>
      <c r="P26" s="4">
        <f t="shared" si="1"/>
        <v>110</v>
      </c>
      <c r="Q26" s="12"/>
      <c r="R26" s="12"/>
    </row>
    <row r="27" spans="1:18" ht="18" customHeight="1" x14ac:dyDescent="0.45">
      <c r="A27" s="20" t="s">
        <v>29</v>
      </c>
      <c r="B27" s="3"/>
      <c r="C27" s="4"/>
      <c r="D27" s="4">
        <v>14</v>
      </c>
      <c r="E27" s="4">
        <v>14</v>
      </c>
      <c r="F27" s="4">
        <v>14</v>
      </c>
      <c r="G27" s="4">
        <v>15</v>
      </c>
      <c r="H27" s="4"/>
      <c r="I27" s="5"/>
      <c r="J27" s="5"/>
      <c r="K27" s="5"/>
      <c r="L27" s="5"/>
      <c r="M27" s="5"/>
      <c r="N27" s="5"/>
      <c r="O27" s="4">
        <f t="shared" si="0"/>
        <v>57</v>
      </c>
      <c r="P27" s="4">
        <f t="shared" si="1"/>
        <v>114</v>
      </c>
      <c r="Q27" s="12"/>
      <c r="R27" s="12"/>
    </row>
    <row r="28" spans="1:18" ht="18" customHeight="1" x14ac:dyDescent="0.45">
      <c r="A28" s="20" t="s">
        <v>30</v>
      </c>
      <c r="B28" s="3"/>
      <c r="C28" s="4"/>
      <c r="D28" s="4">
        <v>14</v>
      </c>
      <c r="E28" s="4">
        <v>14</v>
      </c>
      <c r="F28" s="4">
        <v>14</v>
      </c>
      <c r="G28" s="4">
        <v>13</v>
      </c>
      <c r="H28" s="4"/>
      <c r="I28" s="5"/>
      <c r="J28" s="5"/>
      <c r="K28" s="5"/>
      <c r="L28" s="5"/>
      <c r="M28" s="5"/>
      <c r="N28" s="5"/>
      <c r="O28" s="4">
        <f t="shared" si="0"/>
        <v>55</v>
      </c>
      <c r="P28" s="4">
        <f t="shared" si="1"/>
        <v>110</v>
      </c>
      <c r="Q28" s="12"/>
      <c r="R28" s="12"/>
    </row>
    <row r="29" spans="1:18" ht="18" customHeight="1" x14ac:dyDescent="0.45">
      <c r="A29" s="20" t="s">
        <v>31</v>
      </c>
      <c r="B29" s="3"/>
      <c r="C29" s="4"/>
      <c r="D29" s="4">
        <v>14.5</v>
      </c>
      <c r="E29" s="4">
        <v>14.5</v>
      </c>
      <c r="F29" s="4">
        <v>14</v>
      </c>
      <c r="G29" s="4">
        <v>15</v>
      </c>
      <c r="H29" s="4"/>
      <c r="I29" s="5"/>
      <c r="J29" s="5"/>
      <c r="K29" s="5"/>
      <c r="L29" s="5"/>
      <c r="M29" s="5"/>
      <c r="N29" s="5"/>
      <c r="O29" s="4">
        <f t="shared" si="0"/>
        <v>58</v>
      </c>
      <c r="P29" s="4">
        <f t="shared" si="1"/>
        <v>116</v>
      </c>
      <c r="Q29" s="12"/>
      <c r="R29" s="12"/>
    </row>
    <row r="30" spans="1:18" ht="18" customHeight="1" x14ac:dyDescent="0.45">
      <c r="A30" s="21" t="s">
        <v>32</v>
      </c>
      <c r="B30" s="3"/>
      <c r="C30" s="4"/>
      <c r="D30" s="4">
        <v>14</v>
      </c>
      <c r="E30" s="4">
        <v>14</v>
      </c>
      <c r="F30" s="4">
        <v>14</v>
      </c>
      <c r="G30" s="4">
        <v>13</v>
      </c>
      <c r="H30" s="4"/>
      <c r="I30" s="5"/>
      <c r="J30" s="5"/>
      <c r="K30" s="5"/>
      <c r="L30" s="5"/>
      <c r="M30" s="5"/>
      <c r="N30" s="5"/>
      <c r="O30" s="4">
        <f t="shared" si="0"/>
        <v>55</v>
      </c>
      <c r="P30" s="4">
        <f t="shared" si="1"/>
        <v>110</v>
      </c>
      <c r="Q30" s="12"/>
      <c r="R30" s="12"/>
    </row>
    <row r="31" spans="1:18" ht="18" customHeight="1" x14ac:dyDescent="0.45">
      <c r="A31" s="20" t="s">
        <v>33</v>
      </c>
      <c r="B31" s="3"/>
      <c r="C31" s="4">
        <v>12</v>
      </c>
      <c r="D31" s="4">
        <v>14</v>
      </c>
      <c r="E31" s="4">
        <v>14</v>
      </c>
      <c r="F31" s="4">
        <v>14</v>
      </c>
      <c r="G31" s="4"/>
      <c r="H31" s="4"/>
      <c r="I31" s="5"/>
      <c r="J31" s="5"/>
      <c r="K31" s="5"/>
      <c r="L31" s="5"/>
      <c r="M31" s="5"/>
      <c r="N31" s="5"/>
      <c r="O31" s="4">
        <f t="shared" si="0"/>
        <v>54</v>
      </c>
      <c r="P31" s="4">
        <f t="shared" si="1"/>
        <v>108</v>
      </c>
      <c r="Q31" s="12"/>
      <c r="R31" s="12"/>
    </row>
    <row r="32" spans="1:18" ht="18" customHeight="1" x14ac:dyDescent="0.45">
      <c r="A32" s="22">
        <v>12222031</v>
      </c>
      <c r="B32" s="3"/>
      <c r="C32" s="4"/>
      <c r="D32" s="4">
        <v>14</v>
      </c>
      <c r="E32" s="4">
        <v>14</v>
      </c>
      <c r="F32" s="4">
        <v>14</v>
      </c>
      <c r="G32" s="4">
        <v>13</v>
      </c>
      <c r="H32" s="4"/>
      <c r="I32" s="5"/>
      <c r="J32" s="5"/>
      <c r="K32" s="5"/>
      <c r="L32" s="5"/>
      <c r="M32" s="5"/>
      <c r="N32" s="5"/>
      <c r="O32" s="4">
        <f t="shared" si="0"/>
        <v>55</v>
      </c>
      <c r="P32" s="4">
        <f t="shared" si="1"/>
        <v>110</v>
      </c>
      <c r="Q32" s="12"/>
      <c r="R32" s="12"/>
    </row>
    <row r="33" spans="1:18" ht="18" customHeight="1" x14ac:dyDescent="0.45">
      <c r="A33" s="20" t="s">
        <v>34</v>
      </c>
      <c r="B33" s="3"/>
      <c r="C33" s="4"/>
      <c r="D33" s="4">
        <v>13</v>
      </c>
      <c r="E33" s="4">
        <v>13</v>
      </c>
      <c r="F33" s="4">
        <v>5</v>
      </c>
      <c r="G33" s="4">
        <v>7</v>
      </c>
      <c r="H33" s="4"/>
      <c r="I33" s="5"/>
      <c r="J33" s="5"/>
      <c r="K33" s="5"/>
      <c r="L33" s="5"/>
      <c r="M33" s="5"/>
      <c r="N33" s="5"/>
      <c r="O33" s="4">
        <f t="shared" si="0"/>
        <v>38</v>
      </c>
      <c r="P33" s="4">
        <f t="shared" si="1"/>
        <v>76</v>
      </c>
      <c r="Q33" s="12"/>
      <c r="R33" s="12"/>
    </row>
    <row r="34" spans="1:18" ht="18" customHeight="1" x14ac:dyDescent="0.45">
      <c r="A34" s="21" t="s">
        <v>35</v>
      </c>
      <c r="B34" s="3"/>
      <c r="C34" s="4"/>
      <c r="D34" s="4">
        <v>12</v>
      </c>
      <c r="E34" s="4">
        <v>13</v>
      </c>
      <c r="F34" s="4">
        <v>14</v>
      </c>
      <c r="G34" s="4">
        <v>14</v>
      </c>
      <c r="H34" s="4"/>
      <c r="I34" s="5"/>
      <c r="J34" s="5"/>
      <c r="K34" s="5"/>
      <c r="L34" s="5"/>
      <c r="M34" s="5"/>
      <c r="N34" s="5"/>
      <c r="O34" s="4">
        <f t="shared" si="0"/>
        <v>53</v>
      </c>
      <c r="P34" s="4">
        <f t="shared" si="1"/>
        <v>106</v>
      </c>
      <c r="Q34" s="12"/>
      <c r="R34" s="12"/>
    </row>
    <row r="35" spans="1:18" ht="18" customHeight="1" x14ac:dyDescent="0.45">
      <c r="A35" s="21" t="s">
        <v>36</v>
      </c>
      <c r="B35" s="3"/>
      <c r="C35" s="4">
        <v>12</v>
      </c>
      <c r="D35" s="4">
        <v>14</v>
      </c>
      <c r="E35" s="4">
        <v>14</v>
      </c>
      <c r="F35" s="4">
        <v>14</v>
      </c>
      <c r="G35" s="4"/>
      <c r="H35" s="4"/>
      <c r="I35" s="5"/>
      <c r="J35" s="5"/>
      <c r="K35" s="5"/>
      <c r="L35" s="5"/>
      <c r="M35" s="5"/>
      <c r="N35" s="5"/>
      <c r="O35" s="4">
        <f t="shared" si="0"/>
        <v>54</v>
      </c>
      <c r="P35" s="4">
        <f t="shared" si="1"/>
        <v>108</v>
      </c>
      <c r="Q35" s="12"/>
      <c r="R35" s="12"/>
    </row>
    <row r="36" spans="1:18" ht="18" customHeight="1" x14ac:dyDescent="0.45">
      <c r="A36" s="20" t="s">
        <v>37</v>
      </c>
      <c r="B36" s="3"/>
      <c r="C36" s="4"/>
      <c r="D36" s="4">
        <v>14</v>
      </c>
      <c r="E36" s="4">
        <v>14</v>
      </c>
      <c r="F36" s="4">
        <v>14</v>
      </c>
      <c r="G36" s="4">
        <v>15</v>
      </c>
      <c r="H36" s="4"/>
      <c r="I36" s="5"/>
      <c r="J36" s="5"/>
      <c r="K36" s="5"/>
      <c r="L36" s="5"/>
      <c r="M36" s="5"/>
      <c r="N36" s="5"/>
      <c r="O36" s="4">
        <f t="shared" si="0"/>
        <v>57</v>
      </c>
      <c r="P36" s="4">
        <f t="shared" si="1"/>
        <v>114</v>
      </c>
      <c r="Q36" s="12"/>
      <c r="R36" s="13"/>
    </row>
    <row r="37" spans="1:18" ht="18" customHeight="1" x14ac:dyDescent="0.45">
      <c r="A37" s="21" t="s">
        <v>38</v>
      </c>
      <c r="B37" s="3"/>
      <c r="C37" s="4"/>
      <c r="D37" s="4">
        <v>14</v>
      </c>
      <c r="E37" s="4">
        <v>14</v>
      </c>
      <c r="F37" s="4">
        <v>14</v>
      </c>
      <c r="G37" s="4">
        <v>14</v>
      </c>
      <c r="H37" s="4"/>
      <c r="I37" s="5"/>
      <c r="J37" s="5"/>
      <c r="K37" s="5"/>
      <c r="L37" s="5"/>
      <c r="M37" s="5"/>
      <c r="N37" s="5"/>
      <c r="O37" s="4">
        <f t="shared" si="0"/>
        <v>56</v>
      </c>
      <c r="P37" s="4">
        <f t="shared" si="1"/>
        <v>112</v>
      </c>
      <c r="Q37" s="12"/>
      <c r="R37" s="13"/>
    </row>
    <row r="38" spans="1:18" ht="18" customHeight="1" x14ac:dyDescent="0.45">
      <c r="A38" s="21" t="s">
        <v>39</v>
      </c>
      <c r="B38" s="3"/>
      <c r="C38" s="4">
        <v>15</v>
      </c>
      <c r="D38" s="4">
        <v>14</v>
      </c>
      <c r="E38" s="4">
        <v>14</v>
      </c>
      <c r="F38" s="4">
        <v>15</v>
      </c>
      <c r="G38" s="4"/>
      <c r="H38" s="4"/>
      <c r="I38" s="5"/>
      <c r="J38" s="5"/>
      <c r="K38" s="5"/>
      <c r="L38" s="5"/>
      <c r="M38" s="5"/>
      <c r="N38" s="5"/>
      <c r="O38" s="4">
        <f t="shared" si="0"/>
        <v>58</v>
      </c>
      <c r="P38" s="4">
        <f t="shared" si="1"/>
        <v>116</v>
      </c>
      <c r="Q38" s="12"/>
      <c r="R38" s="13"/>
    </row>
    <row r="39" spans="1:18" ht="18" customHeight="1" x14ac:dyDescent="0.45">
      <c r="A39" s="20" t="s">
        <v>40</v>
      </c>
      <c r="B39" s="4"/>
      <c r="C39" s="4"/>
      <c r="D39" s="4">
        <v>14</v>
      </c>
      <c r="E39" s="4">
        <v>14</v>
      </c>
      <c r="F39" s="4">
        <v>14</v>
      </c>
      <c r="G39" s="4">
        <v>14</v>
      </c>
      <c r="H39" s="4"/>
      <c r="I39" s="5"/>
      <c r="J39" s="5"/>
      <c r="K39" s="5"/>
      <c r="L39" s="5"/>
      <c r="M39" s="5"/>
      <c r="N39" s="5"/>
      <c r="O39" s="4">
        <f t="shared" si="0"/>
        <v>56</v>
      </c>
      <c r="P39" s="4">
        <f t="shared" si="1"/>
        <v>112</v>
      </c>
      <c r="Q39" s="12"/>
      <c r="R39" s="13"/>
    </row>
    <row r="40" spans="1:18" ht="18" customHeight="1" x14ac:dyDescent="0.45">
      <c r="A40" s="20" t="s">
        <v>41</v>
      </c>
      <c r="B40" s="4"/>
      <c r="C40" s="4">
        <v>13</v>
      </c>
      <c r="D40" s="4">
        <v>14</v>
      </c>
      <c r="E40" s="4">
        <v>14</v>
      </c>
      <c r="F40" s="4">
        <v>14</v>
      </c>
      <c r="G40" s="4"/>
      <c r="H40" s="4"/>
      <c r="I40" s="5"/>
      <c r="J40" s="5"/>
      <c r="K40" s="5"/>
      <c r="L40" s="5"/>
      <c r="M40" s="5"/>
      <c r="N40" s="5"/>
      <c r="O40" s="4">
        <f t="shared" si="0"/>
        <v>55</v>
      </c>
      <c r="P40" s="4">
        <f t="shared" si="1"/>
        <v>110</v>
      </c>
      <c r="Q40" s="12"/>
      <c r="R40" s="13"/>
    </row>
    <row r="41" spans="1:18" ht="18" x14ac:dyDescent="0.45">
      <c r="A41" s="29" t="s">
        <v>62</v>
      </c>
      <c r="B41" s="29"/>
      <c r="C41" s="29"/>
      <c r="D41" s="29"/>
      <c r="E41" s="29"/>
      <c r="F41" s="1"/>
      <c r="H41" s="33" t="s">
        <v>1</v>
      </c>
      <c r="I41" s="33"/>
      <c r="J41" s="33"/>
      <c r="K41" s="33"/>
      <c r="L41" s="33"/>
      <c r="M41" s="33"/>
      <c r="N41" s="33"/>
      <c r="O41" s="33"/>
      <c r="P41" s="33"/>
      <c r="R41" s="12"/>
    </row>
    <row r="42" spans="1:18" ht="18" x14ac:dyDescent="0.45">
      <c r="A42" s="24"/>
      <c r="B42" s="24"/>
      <c r="C42" s="24"/>
      <c r="D42" s="24"/>
      <c r="E42" s="24"/>
      <c r="F42" s="1"/>
      <c r="H42" s="16"/>
      <c r="I42" s="16"/>
      <c r="J42" s="16"/>
      <c r="K42" s="16"/>
      <c r="L42" s="16"/>
      <c r="M42" s="16"/>
      <c r="N42" s="16"/>
      <c r="O42" s="16"/>
      <c r="P42" s="16"/>
      <c r="R42" s="12"/>
    </row>
    <row r="43" spans="1:18" ht="18" x14ac:dyDescent="0.45">
      <c r="A43" s="24"/>
      <c r="B43" s="24"/>
      <c r="C43" s="24"/>
      <c r="D43" s="24"/>
      <c r="E43" s="24"/>
      <c r="F43" s="1"/>
      <c r="H43" s="16"/>
      <c r="I43" s="16"/>
      <c r="J43" s="16"/>
      <c r="K43" s="16"/>
      <c r="L43" s="16"/>
      <c r="M43" s="16"/>
      <c r="N43" s="16"/>
      <c r="O43" s="16"/>
      <c r="P43" s="16"/>
      <c r="R43" s="12"/>
    </row>
    <row r="44" spans="1:18" ht="16.5" x14ac:dyDescent="0.45">
      <c r="A44" s="31"/>
      <c r="B44" s="31"/>
      <c r="C44" s="31"/>
      <c r="D44" s="31"/>
      <c r="E44" s="2"/>
      <c r="F44" s="14" t="s">
        <v>11</v>
      </c>
      <c r="G44" s="14"/>
      <c r="H44" s="14"/>
      <c r="I44" s="14"/>
      <c r="J44" s="14"/>
      <c r="K44" s="14"/>
      <c r="L44" s="14"/>
      <c r="R44" s="12"/>
    </row>
    <row r="45" spans="1:18" ht="16.5" x14ac:dyDescent="0.35">
      <c r="A45" s="34" t="s">
        <v>10</v>
      </c>
      <c r="B45" s="35"/>
      <c r="C45" s="35"/>
      <c r="D45" s="35"/>
      <c r="E45" s="2"/>
      <c r="F45" s="14" t="s">
        <v>12</v>
      </c>
      <c r="G45" s="14"/>
      <c r="H45" s="14"/>
      <c r="I45" s="14"/>
      <c r="J45" s="14"/>
      <c r="K45" s="14"/>
      <c r="L45" s="14"/>
      <c r="R45" s="12"/>
    </row>
    <row r="47" spans="1:18" ht="18" x14ac:dyDescent="0.5">
      <c r="A47" s="27" t="s">
        <v>4</v>
      </c>
      <c r="B47" s="36" t="s">
        <v>0</v>
      </c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8"/>
    </row>
    <row r="48" spans="1:18" ht="16.5" x14ac:dyDescent="0.45">
      <c r="A48" s="28"/>
      <c r="B48" s="8">
        <v>1</v>
      </c>
      <c r="C48" s="8">
        <v>2</v>
      </c>
      <c r="D48" s="8">
        <v>3</v>
      </c>
      <c r="E48" s="8">
        <v>4</v>
      </c>
      <c r="F48" s="8">
        <v>5</v>
      </c>
      <c r="G48" s="8">
        <v>6</v>
      </c>
      <c r="H48" s="8">
        <v>7</v>
      </c>
      <c r="I48" s="8">
        <v>8</v>
      </c>
      <c r="J48" s="8">
        <v>9</v>
      </c>
      <c r="K48" s="8">
        <v>10</v>
      </c>
      <c r="L48" s="8">
        <v>11</v>
      </c>
      <c r="M48" s="8">
        <v>12</v>
      </c>
      <c r="N48" s="8">
        <v>13</v>
      </c>
      <c r="O48" s="15" t="s">
        <v>8</v>
      </c>
      <c r="P48" s="9" t="s">
        <v>5</v>
      </c>
    </row>
    <row r="49" spans="1:18" ht="18" customHeight="1" x14ac:dyDescent="0.45">
      <c r="A49" s="20" t="s">
        <v>42</v>
      </c>
      <c r="B49" s="3"/>
      <c r="C49" s="4"/>
      <c r="D49" s="4">
        <v>14</v>
      </c>
      <c r="E49" s="4">
        <v>15</v>
      </c>
      <c r="F49" s="4">
        <v>14</v>
      </c>
      <c r="G49" s="4">
        <v>15</v>
      </c>
      <c r="H49" s="4"/>
      <c r="I49" s="5"/>
      <c r="J49" s="5"/>
      <c r="K49" s="5"/>
      <c r="L49" s="5"/>
      <c r="M49" s="5"/>
      <c r="N49" s="5"/>
      <c r="O49" s="4">
        <f t="shared" ref="O49:O68" si="2">SUM(B49:N49)</f>
        <v>58</v>
      </c>
      <c r="P49" s="4">
        <f t="shared" ref="P49:P66" si="3">SUM(B49:O49)</f>
        <v>116</v>
      </c>
      <c r="Q49" s="12"/>
      <c r="R49" s="12"/>
    </row>
    <row r="50" spans="1:18" ht="18" customHeight="1" x14ac:dyDescent="0.45">
      <c r="A50" s="20" t="s">
        <v>43</v>
      </c>
      <c r="B50" s="3"/>
      <c r="C50" s="4"/>
      <c r="D50" s="4">
        <v>14</v>
      </c>
      <c r="E50" s="4">
        <v>15</v>
      </c>
      <c r="F50" s="4">
        <v>15</v>
      </c>
      <c r="G50" s="4">
        <v>14</v>
      </c>
      <c r="H50" s="4"/>
      <c r="I50" s="5"/>
      <c r="J50" s="5"/>
      <c r="K50" s="5"/>
      <c r="L50" s="5"/>
      <c r="M50" s="5"/>
      <c r="N50" s="5"/>
      <c r="O50" s="4">
        <f t="shared" si="2"/>
        <v>58</v>
      </c>
      <c r="P50" s="4">
        <f t="shared" si="3"/>
        <v>116</v>
      </c>
      <c r="Q50" s="12"/>
      <c r="R50" s="12"/>
    </row>
    <row r="51" spans="1:18" ht="18" customHeight="1" x14ac:dyDescent="0.45">
      <c r="A51" s="20" t="s">
        <v>44</v>
      </c>
      <c r="B51" s="3"/>
      <c r="C51" s="4"/>
      <c r="D51" s="4">
        <v>14</v>
      </c>
      <c r="E51" s="4">
        <v>14</v>
      </c>
      <c r="F51" s="4">
        <v>14</v>
      </c>
      <c r="G51" s="4">
        <v>11</v>
      </c>
      <c r="H51" s="4"/>
      <c r="I51" s="5"/>
      <c r="J51" s="5"/>
      <c r="K51" s="5"/>
      <c r="L51" s="5"/>
      <c r="M51" s="5"/>
      <c r="N51" s="5"/>
      <c r="O51" s="4">
        <f t="shared" si="2"/>
        <v>53</v>
      </c>
      <c r="P51" s="4">
        <f t="shared" si="3"/>
        <v>106</v>
      </c>
      <c r="Q51" s="12"/>
      <c r="R51" s="12"/>
    </row>
    <row r="52" spans="1:18" ht="18" customHeight="1" x14ac:dyDescent="0.45">
      <c r="A52" s="20" t="s">
        <v>45</v>
      </c>
      <c r="B52" s="3"/>
      <c r="C52" s="4">
        <v>12</v>
      </c>
      <c r="D52" s="4">
        <v>14</v>
      </c>
      <c r="E52" s="4">
        <v>14</v>
      </c>
      <c r="F52" s="4">
        <v>13</v>
      </c>
      <c r="G52" s="4"/>
      <c r="H52" s="4"/>
      <c r="I52" s="5"/>
      <c r="J52" s="5"/>
      <c r="K52" s="5"/>
      <c r="L52" s="5"/>
      <c r="M52" s="5"/>
      <c r="N52" s="5"/>
      <c r="O52" s="4">
        <f t="shared" si="2"/>
        <v>53</v>
      </c>
      <c r="P52" s="4">
        <f t="shared" si="3"/>
        <v>106</v>
      </c>
      <c r="Q52" s="12"/>
      <c r="R52" s="12"/>
    </row>
    <row r="53" spans="1:18" ht="18" customHeight="1" x14ac:dyDescent="0.45">
      <c r="A53" s="20" t="s">
        <v>46</v>
      </c>
      <c r="B53" s="3"/>
      <c r="C53" s="4">
        <v>10</v>
      </c>
      <c r="D53" s="4">
        <v>13</v>
      </c>
      <c r="E53" s="4">
        <v>12</v>
      </c>
      <c r="F53" s="4">
        <v>6</v>
      </c>
      <c r="G53" s="4"/>
      <c r="H53" s="4"/>
      <c r="I53" s="5"/>
      <c r="J53" s="5"/>
      <c r="K53" s="5"/>
      <c r="L53" s="5"/>
      <c r="M53" s="5"/>
      <c r="N53" s="5"/>
      <c r="O53" s="4">
        <f t="shared" si="2"/>
        <v>41</v>
      </c>
      <c r="P53" s="4">
        <f t="shared" si="3"/>
        <v>82</v>
      </c>
      <c r="Q53" s="12"/>
      <c r="R53" s="12"/>
    </row>
    <row r="54" spans="1:18" ht="18" customHeight="1" x14ac:dyDescent="0.45">
      <c r="A54" s="20" t="s">
        <v>47</v>
      </c>
      <c r="B54" s="3"/>
      <c r="C54" s="4"/>
      <c r="D54" s="4">
        <v>13</v>
      </c>
      <c r="E54" s="4">
        <v>13</v>
      </c>
      <c r="F54" s="4">
        <v>10</v>
      </c>
      <c r="G54" s="4">
        <v>13</v>
      </c>
      <c r="H54" s="4"/>
      <c r="I54" s="5"/>
      <c r="J54" s="5"/>
      <c r="K54" s="5"/>
      <c r="L54" s="5"/>
      <c r="M54" s="5"/>
      <c r="N54" s="5"/>
      <c r="O54" s="4">
        <f t="shared" si="2"/>
        <v>49</v>
      </c>
      <c r="P54" s="4">
        <f t="shared" si="3"/>
        <v>98</v>
      </c>
      <c r="Q54" s="12"/>
      <c r="R54" s="12"/>
    </row>
    <row r="55" spans="1:18" ht="18" customHeight="1" x14ac:dyDescent="0.45">
      <c r="A55" s="20" t="s">
        <v>48</v>
      </c>
      <c r="B55" s="6"/>
      <c r="C55" s="7">
        <v>14</v>
      </c>
      <c r="D55" s="7">
        <v>14</v>
      </c>
      <c r="E55" s="7">
        <v>14</v>
      </c>
      <c r="F55" s="7">
        <v>14</v>
      </c>
      <c r="G55" s="7"/>
      <c r="H55" s="4"/>
      <c r="I55" s="5"/>
      <c r="J55" s="5"/>
      <c r="K55" s="5"/>
      <c r="L55" s="5"/>
      <c r="M55" s="5"/>
      <c r="N55" s="5"/>
      <c r="O55" s="4">
        <f t="shared" si="2"/>
        <v>56</v>
      </c>
      <c r="P55" s="4">
        <f t="shared" si="3"/>
        <v>112</v>
      </c>
      <c r="Q55" s="12"/>
      <c r="R55" s="12"/>
    </row>
    <row r="56" spans="1:18" ht="18" customHeight="1" x14ac:dyDescent="0.45">
      <c r="A56" s="20" t="s">
        <v>49</v>
      </c>
      <c r="B56" s="3"/>
      <c r="C56" s="4">
        <v>11</v>
      </c>
      <c r="D56" s="4">
        <v>13</v>
      </c>
      <c r="E56" s="4">
        <v>13</v>
      </c>
      <c r="F56" s="4">
        <v>13</v>
      </c>
      <c r="G56" s="4"/>
      <c r="H56" s="4"/>
      <c r="I56" s="5"/>
      <c r="J56" s="5"/>
      <c r="K56" s="5"/>
      <c r="L56" s="5"/>
      <c r="M56" s="5"/>
      <c r="N56" s="5"/>
      <c r="O56" s="4">
        <f t="shared" si="2"/>
        <v>50</v>
      </c>
      <c r="P56" s="4">
        <f t="shared" si="3"/>
        <v>100</v>
      </c>
      <c r="Q56" s="12"/>
      <c r="R56" s="12"/>
    </row>
    <row r="57" spans="1:18" ht="18" customHeight="1" x14ac:dyDescent="0.45">
      <c r="A57" s="20" t="s">
        <v>50</v>
      </c>
      <c r="B57" s="3">
        <v>8</v>
      </c>
      <c r="C57" s="4">
        <v>10</v>
      </c>
      <c r="D57" s="4">
        <v>14</v>
      </c>
      <c r="E57" s="4">
        <v>14</v>
      </c>
      <c r="F57" s="4"/>
      <c r="G57" s="4"/>
      <c r="H57" s="4"/>
      <c r="I57" s="5"/>
      <c r="J57" s="5"/>
      <c r="K57" s="5"/>
      <c r="L57" s="5"/>
      <c r="M57" s="5"/>
      <c r="N57" s="5"/>
      <c r="O57" s="4">
        <f t="shared" si="2"/>
        <v>46</v>
      </c>
      <c r="P57" s="4">
        <f t="shared" si="3"/>
        <v>92</v>
      </c>
      <c r="Q57" s="12"/>
      <c r="R57" s="12"/>
    </row>
    <row r="58" spans="1:18" ht="18" customHeight="1" x14ac:dyDescent="0.45">
      <c r="A58" s="20" t="s">
        <v>51</v>
      </c>
      <c r="B58" s="3"/>
      <c r="C58" s="4"/>
      <c r="D58" s="4">
        <v>14</v>
      </c>
      <c r="E58" s="4">
        <v>15</v>
      </c>
      <c r="F58" s="4">
        <v>15</v>
      </c>
      <c r="G58" s="4">
        <v>15</v>
      </c>
      <c r="H58" s="4"/>
      <c r="I58" s="5"/>
      <c r="J58" s="5"/>
      <c r="K58" s="5"/>
      <c r="L58" s="5"/>
      <c r="M58" s="5"/>
      <c r="N58" s="5"/>
      <c r="O58" s="4">
        <f t="shared" si="2"/>
        <v>59</v>
      </c>
      <c r="P58" s="4">
        <f t="shared" si="3"/>
        <v>118</v>
      </c>
      <c r="Q58" s="12"/>
      <c r="R58" s="12"/>
    </row>
    <row r="59" spans="1:18" ht="18" customHeight="1" x14ac:dyDescent="0.45">
      <c r="A59" s="20" t="s">
        <v>52</v>
      </c>
      <c r="B59" s="3"/>
      <c r="C59" s="4"/>
      <c r="D59" s="4">
        <v>14</v>
      </c>
      <c r="E59" s="4">
        <v>14</v>
      </c>
      <c r="F59" s="4">
        <v>14</v>
      </c>
      <c r="G59" s="4">
        <v>12</v>
      </c>
      <c r="H59" s="4"/>
      <c r="I59" s="5"/>
      <c r="J59" s="5"/>
      <c r="K59" s="5"/>
      <c r="L59" s="5"/>
      <c r="M59" s="5"/>
      <c r="N59" s="5"/>
      <c r="O59" s="4">
        <f t="shared" si="2"/>
        <v>54</v>
      </c>
      <c r="P59" s="4">
        <f t="shared" si="3"/>
        <v>108</v>
      </c>
      <c r="Q59" s="12"/>
      <c r="R59" s="12"/>
    </row>
    <row r="60" spans="1:18" ht="18" customHeight="1" x14ac:dyDescent="0.45">
      <c r="A60" s="20" t="s">
        <v>53</v>
      </c>
      <c r="B60" s="3"/>
      <c r="C60" s="4"/>
      <c r="D60" s="4">
        <v>14</v>
      </c>
      <c r="E60" s="4">
        <v>13</v>
      </c>
      <c r="F60" s="4">
        <v>14</v>
      </c>
      <c r="G60" s="4">
        <v>11</v>
      </c>
      <c r="H60" s="4"/>
      <c r="I60" s="5"/>
      <c r="J60" s="5"/>
      <c r="K60" s="5"/>
      <c r="L60" s="5"/>
      <c r="M60" s="5"/>
      <c r="N60" s="5"/>
      <c r="O60" s="4">
        <f t="shared" si="2"/>
        <v>52</v>
      </c>
      <c r="P60" s="4">
        <f t="shared" si="3"/>
        <v>104</v>
      </c>
      <c r="Q60" s="12"/>
      <c r="R60" s="12"/>
    </row>
    <row r="61" spans="1:18" ht="18" customHeight="1" x14ac:dyDescent="0.45">
      <c r="A61" s="20" t="s">
        <v>54</v>
      </c>
      <c r="B61" s="3"/>
      <c r="C61" s="4">
        <v>10</v>
      </c>
      <c r="D61" s="4">
        <v>13</v>
      </c>
      <c r="E61" s="4">
        <v>13</v>
      </c>
      <c r="F61" s="4">
        <v>8</v>
      </c>
      <c r="G61" s="4"/>
      <c r="H61" s="4"/>
      <c r="I61" s="5"/>
      <c r="J61" s="5"/>
      <c r="K61" s="5"/>
      <c r="L61" s="5"/>
      <c r="M61" s="5"/>
      <c r="N61" s="5"/>
      <c r="O61" s="4">
        <f t="shared" si="2"/>
        <v>44</v>
      </c>
      <c r="P61" s="4">
        <f t="shared" si="3"/>
        <v>88</v>
      </c>
      <c r="Q61" s="12"/>
      <c r="R61" s="12"/>
    </row>
    <row r="62" spans="1:18" ht="18" customHeight="1" x14ac:dyDescent="0.45">
      <c r="A62" s="20" t="s">
        <v>55</v>
      </c>
      <c r="B62" s="3"/>
      <c r="C62" s="4">
        <v>14</v>
      </c>
      <c r="D62" s="4">
        <v>13</v>
      </c>
      <c r="E62" s="4">
        <v>13</v>
      </c>
      <c r="F62" s="4">
        <v>7</v>
      </c>
      <c r="G62" s="4"/>
      <c r="H62" s="4"/>
      <c r="I62" s="5"/>
      <c r="J62" s="5"/>
      <c r="K62" s="5"/>
      <c r="L62" s="5"/>
      <c r="M62" s="5"/>
      <c r="N62" s="5"/>
      <c r="O62" s="4">
        <f t="shared" si="2"/>
        <v>47</v>
      </c>
      <c r="P62" s="4">
        <f t="shared" si="3"/>
        <v>94</v>
      </c>
      <c r="Q62" s="12"/>
      <c r="R62" s="13"/>
    </row>
    <row r="63" spans="1:18" ht="18" customHeight="1" x14ac:dyDescent="0.45">
      <c r="A63" s="21" t="s">
        <v>56</v>
      </c>
      <c r="B63" s="3"/>
      <c r="C63" s="4">
        <v>15</v>
      </c>
      <c r="D63" s="4">
        <v>11</v>
      </c>
      <c r="E63" s="4">
        <v>13</v>
      </c>
      <c r="F63" s="4">
        <v>14</v>
      </c>
      <c r="G63" s="4"/>
      <c r="H63" s="4"/>
      <c r="I63" s="5"/>
      <c r="J63" s="5"/>
      <c r="K63" s="5"/>
      <c r="L63" s="5"/>
      <c r="M63" s="5"/>
      <c r="N63" s="5"/>
      <c r="O63" s="4">
        <f t="shared" si="2"/>
        <v>53</v>
      </c>
      <c r="P63" s="4">
        <f t="shared" si="3"/>
        <v>106</v>
      </c>
      <c r="Q63" s="12"/>
      <c r="R63" s="12"/>
    </row>
    <row r="64" spans="1:18" ht="18" customHeight="1" x14ac:dyDescent="0.45">
      <c r="A64" s="20" t="s">
        <v>57</v>
      </c>
      <c r="B64" s="3"/>
      <c r="C64" s="4">
        <v>14</v>
      </c>
      <c r="D64" s="4">
        <v>13</v>
      </c>
      <c r="E64" s="4">
        <v>13</v>
      </c>
      <c r="F64" s="4">
        <v>13</v>
      </c>
      <c r="G64" s="4"/>
      <c r="H64" s="4"/>
      <c r="I64" s="5"/>
      <c r="J64" s="5"/>
      <c r="K64" s="5"/>
      <c r="L64" s="5"/>
      <c r="M64" s="5"/>
      <c r="N64" s="5"/>
      <c r="O64" s="4">
        <f t="shared" si="2"/>
        <v>53</v>
      </c>
      <c r="P64" s="4">
        <f t="shared" si="3"/>
        <v>106</v>
      </c>
      <c r="Q64" s="12"/>
      <c r="R64" s="12"/>
    </row>
    <row r="65" spans="1:18" ht="18" customHeight="1" x14ac:dyDescent="0.45">
      <c r="A65" s="20" t="s">
        <v>58</v>
      </c>
      <c r="B65" s="3"/>
      <c r="C65" s="4"/>
      <c r="D65" s="4">
        <v>15</v>
      </c>
      <c r="E65" s="4">
        <v>14</v>
      </c>
      <c r="F65" s="4">
        <v>15</v>
      </c>
      <c r="G65" s="4">
        <v>15</v>
      </c>
      <c r="H65" s="4"/>
      <c r="I65" s="5"/>
      <c r="J65" s="5"/>
      <c r="K65" s="5"/>
      <c r="L65" s="5"/>
      <c r="M65" s="5"/>
      <c r="N65" s="5"/>
      <c r="O65" s="4">
        <f t="shared" si="2"/>
        <v>59</v>
      </c>
      <c r="P65" s="4">
        <f t="shared" si="3"/>
        <v>118</v>
      </c>
      <c r="Q65" s="12"/>
      <c r="R65" s="12"/>
    </row>
    <row r="66" spans="1:18" ht="18" customHeight="1" x14ac:dyDescent="0.45">
      <c r="A66" s="20" t="s">
        <v>59</v>
      </c>
      <c r="B66" s="3"/>
      <c r="C66" s="4">
        <v>15</v>
      </c>
      <c r="D66" s="4">
        <v>14</v>
      </c>
      <c r="E66" s="4">
        <v>15</v>
      </c>
      <c r="F66" s="4">
        <v>15</v>
      </c>
      <c r="G66" s="4"/>
      <c r="H66" s="4"/>
      <c r="I66" s="5"/>
      <c r="J66" s="5"/>
      <c r="K66" s="5"/>
      <c r="L66" s="5"/>
      <c r="M66" s="5"/>
      <c r="N66" s="5"/>
      <c r="O66" s="4">
        <f t="shared" si="2"/>
        <v>59</v>
      </c>
      <c r="P66" s="4">
        <f t="shared" si="3"/>
        <v>118</v>
      </c>
      <c r="Q66" s="12"/>
      <c r="R66" s="12"/>
    </row>
    <row r="67" spans="1:18" ht="18" customHeight="1" x14ac:dyDescent="0.45">
      <c r="A67" s="21" t="s">
        <v>60</v>
      </c>
      <c r="B67" s="3"/>
      <c r="C67" s="4"/>
      <c r="D67" s="4">
        <v>14</v>
      </c>
      <c r="E67" s="4">
        <v>14</v>
      </c>
      <c r="F67" s="4">
        <v>14</v>
      </c>
      <c r="G67" s="4">
        <v>13</v>
      </c>
      <c r="H67" s="4"/>
      <c r="I67" s="5"/>
      <c r="J67" s="5"/>
      <c r="K67" s="5"/>
      <c r="L67" s="5"/>
      <c r="M67" s="5"/>
      <c r="N67" s="5"/>
      <c r="O67" s="4">
        <f t="shared" si="2"/>
        <v>55</v>
      </c>
      <c r="P67" s="19"/>
      <c r="Q67" s="12"/>
      <c r="R67" s="12"/>
    </row>
    <row r="68" spans="1:18" ht="18" customHeight="1" x14ac:dyDescent="0.45">
      <c r="A68" s="20" t="s">
        <v>61</v>
      </c>
      <c r="B68" s="4"/>
      <c r="C68" s="4"/>
      <c r="D68" s="4">
        <v>14</v>
      </c>
      <c r="E68" s="4">
        <v>13</v>
      </c>
      <c r="F68" s="4">
        <v>14</v>
      </c>
      <c r="G68" s="4">
        <v>12</v>
      </c>
      <c r="H68" s="4"/>
      <c r="I68" s="5"/>
      <c r="J68" s="5"/>
      <c r="K68" s="5"/>
      <c r="L68" s="5"/>
      <c r="M68" s="5"/>
      <c r="N68" s="5"/>
      <c r="O68" s="4">
        <f t="shared" si="2"/>
        <v>53</v>
      </c>
      <c r="P68" s="19"/>
      <c r="Q68" s="12"/>
      <c r="R68" s="12"/>
    </row>
    <row r="69" spans="1:18" ht="18" customHeight="1" x14ac:dyDescent="0.45">
      <c r="A69" s="17"/>
      <c r="B69" s="18"/>
      <c r="C69" s="18"/>
      <c r="D69" s="18"/>
      <c r="E69" s="18"/>
      <c r="F69" s="18"/>
      <c r="G69" s="18"/>
      <c r="H69" s="18"/>
      <c r="I69" s="23"/>
      <c r="J69" s="23"/>
      <c r="K69" s="23"/>
      <c r="L69" s="23"/>
      <c r="M69" s="23"/>
      <c r="N69" s="23"/>
      <c r="O69" s="18"/>
      <c r="P69" s="19"/>
      <c r="Q69" s="12"/>
      <c r="R69" s="12"/>
    </row>
    <row r="70" spans="1:18" ht="18" x14ac:dyDescent="0.45">
      <c r="A70" s="29" t="s">
        <v>62</v>
      </c>
      <c r="B70" s="29"/>
      <c r="C70" s="29"/>
      <c r="D70" s="29"/>
      <c r="E70" s="29"/>
      <c r="F70" s="1"/>
      <c r="H70" s="30" t="s">
        <v>1</v>
      </c>
      <c r="I70" s="30"/>
      <c r="J70" s="30"/>
      <c r="K70" s="30"/>
      <c r="L70" s="30"/>
      <c r="M70" s="30"/>
      <c r="N70" s="30"/>
      <c r="O70" s="30"/>
      <c r="P70" s="30"/>
    </row>
    <row r="71" spans="1:18" ht="18" x14ac:dyDescent="0.25">
      <c r="A71" s="25"/>
      <c r="B71" s="25"/>
      <c r="C71" s="25"/>
      <c r="D71" s="25"/>
      <c r="E71" s="25"/>
      <c r="H71" s="33" t="s">
        <v>6</v>
      </c>
      <c r="I71" s="33"/>
      <c r="J71" s="33"/>
      <c r="K71" s="33"/>
      <c r="L71" s="33"/>
      <c r="M71" s="33"/>
      <c r="N71" s="33"/>
      <c r="O71" s="33"/>
      <c r="P71" s="33"/>
    </row>
    <row r="72" spans="1:18" ht="18" x14ac:dyDescent="0.25">
      <c r="H72" s="33" t="s">
        <v>7</v>
      </c>
      <c r="I72" s="33"/>
      <c r="J72" s="33"/>
      <c r="K72" s="33"/>
      <c r="L72" s="33"/>
      <c r="M72" s="33"/>
      <c r="N72" s="33"/>
      <c r="O72" s="33"/>
      <c r="P72" s="33"/>
    </row>
  </sheetData>
  <mergeCells count="17">
    <mergeCell ref="H71:P71"/>
    <mergeCell ref="H72:P72"/>
    <mergeCell ref="A45:D45"/>
    <mergeCell ref="A47:A48"/>
    <mergeCell ref="B47:P47"/>
    <mergeCell ref="A1:P1"/>
    <mergeCell ref="A6:A7"/>
    <mergeCell ref="A41:E41"/>
    <mergeCell ref="A70:E70"/>
    <mergeCell ref="H70:P70"/>
    <mergeCell ref="A44:D44"/>
    <mergeCell ref="A2:P2"/>
    <mergeCell ref="A3:P3"/>
    <mergeCell ref="H41:P41"/>
    <mergeCell ref="A4:D4"/>
    <mergeCell ref="A5:D5"/>
    <mergeCell ref="B6:P6"/>
  </mergeCells>
  <phoneticPr fontId="0" type="noConversion"/>
  <pageMargins left="0.75" right="0.75" top="0.75" bottom="0.5" header="0.5" footer="0.5"/>
  <pageSetup paperSize="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1"/>
  <sheetViews>
    <sheetView topLeftCell="A18" workbookViewId="0">
      <selection activeCell="E41" sqref="E41"/>
    </sheetView>
  </sheetViews>
  <sheetFormatPr defaultRowHeight="12.5" x14ac:dyDescent="0.25"/>
  <cols>
    <col min="6" max="6" width="12.453125" customWidth="1"/>
  </cols>
  <sheetData>
    <row r="1" spans="1:8" x14ac:dyDescent="0.25">
      <c r="A1">
        <v>3</v>
      </c>
    </row>
    <row r="2" spans="1:8" s="10" customFormat="1" x14ac:dyDescent="0.25"/>
    <row r="3" spans="1:8" x14ac:dyDescent="0.25">
      <c r="B3">
        <v>1</v>
      </c>
      <c r="C3">
        <f>B3-2.75</f>
        <v>-1.75</v>
      </c>
      <c r="D3">
        <f>C3*C3</f>
        <v>3.0625</v>
      </c>
      <c r="E3">
        <v>3.9</v>
      </c>
      <c r="F3">
        <f>E3-6.225</f>
        <v>-2.3249999999999997</v>
      </c>
      <c r="G3">
        <f>F3*F3</f>
        <v>5.4056249999999988</v>
      </c>
      <c r="H3">
        <f>C3*F3</f>
        <v>4.0687499999999996</v>
      </c>
    </row>
    <row r="4" spans="1:8" x14ac:dyDescent="0.25">
      <c r="B4">
        <v>1.5</v>
      </c>
      <c r="C4">
        <f t="shared" ref="C4:C10" si="0">B4-2.75</f>
        <v>-1.25</v>
      </c>
      <c r="D4">
        <f t="shared" ref="D4:D10" si="1">C4*C4</f>
        <v>1.5625</v>
      </c>
      <c r="E4">
        <v>4.4000000000000004</v>
      </c>
      <c r="F4">
        <f t="shared" ref="F4:F10" si="2">E4-6.225</f>
        <v>-1.8249999999999993</v>
      </c>
      <c r="G4">
        <f t="shared" ref="G4:G10" si="3">F4*F4</f>
        <v>3.3306249999999973</v>
      </c>
      <c r="H4">
        <f t="shared" ref="H4:H10" si="4">C4*F4</f>
        <v>2.2812499999999991</v>
      </c>
    </row>
    <row r="5" spans="1:8" x14ac:dyDescent="0.25">
      <c r="B5">
        <v>2</v>
      </c>
      <c r="C5">
        <f t="shared" si="0"/>
        <v>-0.75</v>
      </c>
      <c r="D5">
        <f t="shared" si="1"/>
        <v>0.5625</v>
      </c>
      <c r="E5">
        <v>5.8</v>
      </c>
      <c r="F5">
        <f t="shared" si="2"/>
        <v>-0.42499999999999982</v>
      </c>
      <c r="G5">
        <f t="shared" si="3"/>
        <v>0.18062499999999984</v>
      </c>
      <c r="H5">
        <f t="shared" si="4"/>
        <v>0.31874999999999987</v>
      </c>
    </row>
    <row r="6" spans="1:8" x14ac:dyDescent="0.25">
      <c r="B6">
        <v>2.5</v>
      </c>
      <c r="C6">
        <f t="shared" si="0"/>
        <v>-0.25</v>
      </c>
      <c r="D6">
        <f t="shared" si="1"/>
        <v>6.25E-2</v>
      </c>
      <c r="E6">
        <v>6.6</v>
      </c>
      <c r="F6">
        <f t="shared" si="2"/>
        <v>0.375</v>
      </c>
      <c r="G6">
        <f t="shared" si="3"/>
        <v>0.140625</v>
      </c>
      <c r="H6">
        <f t="shared" si="4"/>
        <v>-9.375E-2</v>
      </c>
    </row>
    <row r="7" spans="1:8" x14ac:dyDescent="0.25">
      <c r="B7">
        <v>3</v>
      </c>
      <c r="C7">
        <f t="shared" si="0"/>
        <v>0.25</v>
      </c>
      <c r="D7">
        <f t="shared" si="1"/>
        <v>6.25E-2</v>
      </c>
      <c r="E7">
        <v>7</v>
      </c>
      <c r="F7">
        <f t="shared" si="2"/>
        <v>0.77500000000000036</v>
      </c>
      <c r="G7">
        <f t="shared" si="3"/>
        <v>0.60062500000000052</v>
      </c>
      <c r="H7">
        <f t="shared" si="4"/>
        <v>0.19375000000000009</v>
      </c>
    </row>
    <row r="8" spans="1:8" x14ac:dyDescent="0.25">
      <c r="B8">
        <v>3.5</v>
      </c>
      <c r="C8">
        <f t="shared" si="0"/>
        <v>0.75</v>
      </c>
      <c r="D8">
        <f t="shared" si="1"/>
        <v>0.5625</v>
      </c>
      <c r="E8">
        <v>7.1</v>
      </c>
      <c r="F8">
        <f t="shared" si="2"/>
        <v>0.875</v>
      </c>
      <c r="G8">
        <f t="shared" si="3"/>
        <v>0.765625</v>
      </c>
      <c r="H8">
        <f t="shared" si="4"/>
        <v>0.65625</v>
      </c>
    </row>
    <row r="9" spans="1:8" x14ac:dyDescent="0.25">
      <c r="B9">
        <v>4</v>
      </c>
      <c r="C9">
        <f t="shared" si="0"/>
        <v>1.25</v>
      </c>
      <c r="D9">
        <f t="shared" si="1"/>
        <v>1.5625</v>
      </c>
      <c r="E9">
        <v>7.3</v>
      </c>
      <c r="F9">
        <f t="shared" si="2"/>
        <v>1.0750000000000002</v>
      </c>
      <c r="G9">
        <f t="shared" si="3"/>
        <v>1.1556250000000003</v>
      </c>
      <c r="H9">
        <f t="shared" si="4"/>
        <v>1.3437500000000002</v>
      </c>
    </row>
    <row r="10" spans="1:8" x14ac:dyDescent="0.25">
      <c r="B10">
        <v>4.5</v>
      </c>
      <c r="C10">
        <f t="shared" si="0"/>
        <v>1.75</v>
      </c>
      <c r="D10">
        <f t="shared" si="1"/>
        <v>3.0625</v>
      </c>
      <c r="E10">
        <v>7.7</v>
      </c>
      <c r="F10">
        <f t="shared" si="2"/>
        <v>1.4750000000000005</v>
      </c>
      <c r="G10">
        <f t="shared" si="3"/>
        <v>2.1756250000000015</v>
      </c>
      <c r="H10">
        <f t="shared" si="4"/>
        <v>2.5812500000000007</v>
      </c>
    </row>
    <row r="11" spans="1:8" s="10" customFormat="1" x14ac:dyDescent="0.25">
      <c r="B11" s="10">
        <f t="shared" ref="B11:H11" si="5">SUM(B3:B10)</f>
        <v>22</v>
      </c>
      <c r="C11" s="10">
        <f t="shared" si="5"/>
        <v>0</v>
      </c>
      <c r="D11" s="10">
        <f t="shared" si="5"/>
        <v>10.5</v>
      </c>
      <c r="E11" s="10">
        <f t="shared" si="5"/>
        <v>49.800000000000004</v>
      </c>
      <c r="F11" s="11">
        <f t="shared" si="5"/>
        <v>2.6645352591003757E-15</v>
      </c>
      <c r="G11" s="10">
        <f t="shared" si="5"/>
        <v>13.754999999999999</v>
      </c>
      <c r="H11" s="10">
        <f t="shared" si="5"/>
        <v>11.35</v>
      </c>
    </row>
    <row r="13" spans="1:8" x14ac:dyDescent="0.25">
      <c r="B13">
        <f>B11/8</f>
        <v>2.75</v>
      </c>
      <c r="E13">
        <f>E11/8</f>
        <v>6.2250000000000005</v>
      </c>
    </row>
    <row r="17" spans="2:8" s="10" customFormat="1" x14ac:dyDescent="0.25"/>
    <row r="18" spans="2:8" x14ac:dyDescent="0.25">
      <c r="B18">
        <v>15</v>
      </c>
      <c r="C18">
        <f>B18-17.625</f>
        <v>-2.625</v>
      </c>
      <c r="D18">
        <f t="shared" ref="D18:D25" si="6">C18*C18</f>
        <v>6.890625</v>
      </c>
      <c r="E18">
        <v>17</v>
      </c>
      <c r="F18">
        <f>E18-11.875</f>
        <v>5.125</v>
      </c>
      <c r="G18">
        <f t="shared" ref="G18:G25" si="7">F18*F18</f>
        <v>26.265625</v>
      </c>
      <c r="H18">
        <f t="shared" ref="H18:H25" si="8">C18*F18</f>
        <v>-13.453125</v>
      </c>
    </row>
    <row r="19" spans="2:8" x14ac:dyDescent="0.25">
      <c r="B19">
        <v>17</v>
      </c>
      <c r="C19">
        <f t="shared" ref="C19:C25" si="9">B19-17.625</f>
        <v>-0.625</v>
      </c>
      <c r="D19">
        <f t="shared" si="6"/>
        <v>0.390625</v>
      </c>
      <c r="E19">
        <v>13</v>
      </c>
      <c r="F19">
        <f t="shared" ref="F19:F25" si="10">E19-11.875</f>
        <v>1.125</v>
      </c>
      <c r="G19">
        <f t="shared" si="7"/>
        <v>1.265625</v>
      </c>
      <c r="H19">
        <f t="shared" si="8"/>
        <v>-0.703125</v>
      </c>
    </row>
    <row r="20" spans="2:8" x14ac:dyDescent="0.25">
      <c r="B20">
        <v>20</v>
      </c>
      <c r="C20">
        <f t="shared" si="9"/>
        <v>2.375</v>
      </c>
      <c r="D20">
        <f t="shared" si="6"/>
        <v>5.640625</v>
      </c>
      <c r="E20">
        <v>5</v>
      </c>
      <c r="F20">
        <f t="shared" si="10"/>
        <v>-6.875</v>
      </c>
      <c r="G20">
        <f t="shared" si="7"/>
        <v>47.265625</v>
      </c>
      <c r="H20">
        <f t="shared" si="8"/>
        <v>-16.328125</v>
      </c>
    </row>
    <row r="21" spans="2:8" x14ac:dyDescent="0.25">
      <c r="B21">
        <v>27</v>
      </c>
      <c r="C21">
        <f t="shared" si="9"/>
        <v>9.375</v>
      </c>
      <c r="D21">
        <f t="shared" si="6"/>
        <v>87.890625</v>
      </c>
      <c r="E21">
        <v>7</v>
      </c>
      <c r="F21">
        <f t="shared" si="10"/>
        <v>-4.875</v>
      </c>
      <c r="G21">
        <f t="shared" si="7"/>
        <v>23.765625</v>
      </c>
      <c r="H21">
        <f t="shared" si="8"/>
        <v>-45.703125</v>
      </c>
    </row>
    <row r="22" spans="2:8" x14ac:dyDescent="0.25">
      <c r="B22">
        <v>17</v>
      </c>
      <c r="C22">
        <f t="shared" si="9"/>
        <v>-0.625</v>
      </c>
      <c r="D22">
        <f t="shared" si="6"/>
        <v>0.390625</v>
      </c>
      <c r="E22">
        <v>7</v>
      </c>
      <c r="F22">
        <f t="shared" si="10"/>
        <v>-4.875</v>
      </c>
      <c r="G22">
        <f t="shared" si="7"/>
        <v>23.765625</v>
      </c>
      <c r="H22">
        <f t="shared" si="8"/>
        <v>3.046875</v>
      </c>
    </row>
    <row r="23" spans="2:8" x14ac:dyDescent="0.25">
      <c r="B23">
        <v>12</v>
      </c>
      <c r="C23">
        <f t="shared" si="9"/>
        <v>-5.625</v>
      </c>
      <c r="D23">
        <f t="shared" si="6"/>
        <v>31.640625</v>
      </c>
      <c r="E23">
        <v>21</v>
      </c>
      <c r="F23">
        <f t="shared" si="10"/>
        <v>9.125</v>
      </c>
      <c r="G23">
        <f t="shared" si="7"/>
        <v>83.265625</v>
      </c>
      <c r="H23">
        <f t="shared" si="8"/>
        <v>-51.328125</v>
      </c>
    </row>
    <row r="24" spans="2:8" x14ac:dyDescent="0.25">
      <c r="B24">
        <v>11</v>
      </c>
      <c r="C24">
        <f t="shared" si="9"/>
        <v>-6.625</v>
      </c>
      <c r="D24">
        <f t="shared" si="6"/>
        <v>43.890625</v>
      </c>
      <c r="E24">
        <v>19</v>
      </c>
      <c r="F24">
        <f t="shared" si="10"/>
        <v>7.125</v>
      </c>
      <c r="G24">
        <f t="shared" si="7"/>
        <v>50.765625</v>
      </c>
      <c r="H24">
        <f t="shared" si="8"/>
        <v>-47.203125</v>
      </c>
    </row>
    <row r="25" spans="2:8" x14ac:dyDescent="0.25">
      <c r="B25">
        <v>22</v>
      </c>
      <c r="C25">
        <f t="shared" si="9"/>
        <v>4.375</v>
      </c>
      <c r="D25">
        <f t="shared" si="6"/>
        <v>19.140625</v>
      </c>
      <c r="E25">
        <v>6</v>
      </c>
      <c r="F25">
        <f t="shared" si="10"/>
        <v>-5.875</v>
      </c>
      <c r="G25">
        <f t="shared" si="7"/>
        <v>34.515625</v>
      </c>
      <c r="H25">
        <f t="shared" si="8"/>
        <v>-25.703125</v>
      </c>
    </row>
    <row r="26" spans="2:8" s="10" customFormat="1" x14ac:dyDescent="0.25">
      <c r="B26" s="10">
        <f t="shared" ref="B26:H26" si="11">SUM(B18:B25)</f>
        <v>141</v>
      </c>
      <c r="C26" s="10">
        <f t="shared" si="11"/>
        <v>0</v>
      </c>
      <c r="D26" s="10">
        <f t="shared" si="11"/>
        <v>195.875</v>
      </c>
      <c r="E26" s="10">
        <f t="shared" si="11"/>
        <v>95</v>
      </c>
      <c r="F26" s="11">
        <f t="shared" si="11"/>
        <v>0</v>
      </c>
      <c r="G26" s="10">
        <f t="shared" si="11"/>
        <v>290.875</v>
      </c>
      <c r="H26" s="10">
        <f t="shared" si="11"/>
        <v>-197.375</v>
      </c>
    </row>
    <row r="28" spans="2:8" x14ac:dyDescent="0.25">
      <c r="B28">
        <f>B26/8</f>
        <v>17.625</v>
      </c>
      <c r="E28">
        <f>E26/8</f>
        <v>11.875</v>
      </c>
    </row>
    <row r="31" spans="2:8" x14ac:dyDescent="0.25">
      <c r="B31">
        <v>19</v>
      </c>
      <c r="C31">
        <v>13.25</v>
      </c>
    </row>
    <row r="32" spans="2:8" x14ac:dyDescent="0.25">
      <c r="B32">
        <v>21</v>
      </c>
      <c r="C32">
        <v>11.25</v>
      </c>
    </row>
    <row r="33" spans="2:3" x14ac:dyDescent="0.25">
      <c r="B33">
        <v>20</v>
      </c>
      <c r="C33">
        <v>12.25</v>
      </c>
    </row>
    <row r="34" spans="2:3" x14ac:dyDescent="0.25">
      <c r="B34">
        <v>27</v>
      </c>
      <c r="C34">
        <v>5.25</v>
      </c>
    </row>
    <row r="35" spans="2:3" x14ac:dyDescent="0.25">
      <c r="B35">
        <v>35</v>
      </c>
      <c r="C35">
        <f t="shared" ref="C35:C38" si="12">B35-32.25</f>
        <v>2.75</v>
      </c>
    </row>
    <row r="36" spans="2:3" x14ac:dyDescent="0.25">
      <c r="B36">
        <v>39</v>
      </c>
      <c r="C36">
        <f t="shared" si="12"/>
        <v>6.75</v>
      </c>
    </row>
    <row r="37" spans="2:3" x14ac:dyDescent="0.25">
      <c r="B37">
        <v>45</v>
      </c>
      <c r="C37">
        <f t="shared" si="12"/>
        <v>12.75</v>
      </c>
    </row>
    <row r="38" spans="2:3" x14ac:dyDescent="0.25">
      <c r="B38">
        <v>52</v>
      </c>
      <c r="C38">
        <f t="shared" si="12"/>
        <v>19.75</v>
      </c>
    </row>
    <row r="39" spans="2:3" x14ac:dyDescent="0.25">
      <c r="B39">
        <f>SUM(B31:B38)</f>
        <v>258</v>
      </c>
      <c r="C39">
        <f>SUM(C31:C38)</f>
        <v>84</v>
      </c>
    </row>
    <row r="41" spans="2:3" x14ac:dyDescent="0.25">
      <c r="B41">
        <f>B39/8</f>
        <v>32.25</v>
      </c>
    </row>
  </sheetData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BRUR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Neeshar Khan</dc:creator>
  <cp:lastModifiedBy>User</cp:lastModifiedBy>
  <cp:lastPrinted>2024-07-10T11:14:48Z</cp:lastPrinted>
  <dcterms:created xsi:type="dcterms:W3CDTF">2011-12-25T17:43:36Z</dcterms:created>
  <dcterms:modified xsi:type="dcterms:W3CDTF">2026-08-18T03:22:56Z</dcterms:modified>
</cp:coreProperties>
</file>